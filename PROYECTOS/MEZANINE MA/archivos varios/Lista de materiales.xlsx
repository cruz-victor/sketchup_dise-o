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\Downloads\CURSO SKETCHUP\PROYECTOS\MEZANINE MA\"/>
    </mc:Choice>
  </mc:AlternateContent>
  <xr:revisionPtr revIDLastSave="0" documentId="13_ncr:1_{DCE85600-3DB7-4B8C-8BAE-B8EB456A596C}" xr6:coauthVersionLast="47" xr6:coauthVersionMax="47" xr10:uidLastSave="{00000000-0000-0000-0000-000000000000}"/>
  <bookViews>
    <workbookView xWindow="-120" yWindow="-120" windowWidth="38640" windowHeight="21120" activeTab="1" xr2:uid="{9C38CAA7-9F0A-40CC-8992-24B3D9ED1EBA}"/>
  </bookViews>
  <sheets>
    <sheet name="Presupuesto" sheetId="1" r:id="rId1"/>
    <sheet name="Precio Melamina Trupan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7" i="1"/>
  <c r="D9" i="1"/>
  <c r="D10" i="1"/>
  <c r="D11" i="1"/>
  <c r="D12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9" i="1"/>
  <c r="D30" i="1"/>
  <c r="D31" i="1"/>
  <c r="D32" i="1"/>
  <c r="D34" i="1"/>
  <c r="D36" i="1"/>
  <c r="D37" i="1"/>
  <c r="D38" i="1"/>
  <c r="D39" i="1"/>
  <c r="D40" i="1"/>
  <c r="D3" i="1"/>
  <c r="D41" i="1" l="1"/>
</calcChain>
</file>

<file path=xl/sharedStrings.xml><?xml version="1.0" encoding="utf-8"?>
<sst xmlns="http://schemas.openxmlformats.org/spreadsheetml/2006/main" count="314" uniqueCount="194">
  <si>
    <t>LISTA DE MATERIALES</t>
  </si>
  <si>
    <t>CANTIDAD</t>
  </si>
  <si>
    <t xml:space="preserve">PRECIO </t>
  </si>
  <si>
    <t>PRECIO TOTAL</t>
  </si>
  <si>
    <t>Pulsador Push</t>
  </si>
  <si>
    <t>Perfil Led (6m)</t>
  </si>
  <si>
    <t>Perfil Marco Vitrina (6m)</t>
  </si>
  <si>
    <t>Perfil Gola J (3m)</t>
  </si>
  <si>
    <t>Perfil Gola C (3m)</t>
  </si>
  <si>
    <t>Tira Luces led (m)</t>
  </si>
  <si>
    <t>Enchufe (doble)</t>
  </si>
  <si>
    <t>Tomacorriente (triple)</t>
  </si>
  <si>
    <t>Lampara led de pared</t>
  </si>
  <si>
    <t>Vidrio bronce (4 o 5 mm; hoja)</t>
  </si>
  <si>
    <t>Tableros y fondos</t>
  </si>
  <si>
    <t>Cantos y acabados</t>
  </si>
  <si>
    <t>Elementos de fijacion</t>
  </si>
  <si>
    <t>Herrajes y Accesorios</t>
  </si>
  <si>
    <t>Consumibles de armado</t>
  </si>
  <si>
    <t>Trupan Tapa fondo (3mm; 2440x1220mm)</t>
  </si>
  <si>
    <t>Melamina Blanco Arena (15mm; 2780x1830mm)</t>
  </si>
  <si>
    <t>Melamina Madera Roble (15mm; 2780x1830mm)</t>
  </si>
  <si>
    <t>Tapacanto pvc (1mm)</t>
  </si>
  <si>
    <t>Bisagras cangrejo</t>
  </si>
  <si>
    <t>Perfiles de aluminio</t>
  </si>
  <si>
    <t>Vidrios</t>
  </si>
  <si>
    <t>Pistons a Gas (80 N)</t>
  </si>
  <si>
    <t>Tubo de colgar (71 cm)</t>
  </si>
  <si>
    <t>Tapa tornillso adhesivos (1 docena)</t>
  </si>
  <si>
    <t>Tornillos para estructura (4x50mm o 1 1/2'' o 2'' 1 docena)</t>
  </si>
  <si>
    <t>Tornillos para herrajes (3.5x15mm o 5/8'' 1 docena)</t>
  </si>
  <si>
    <t>Tornillos para cajones (4x30mm 1 docena)</t>
  </si>
  <si>
    <t>Pegamento de contacto (1 tubo)</t>
  </si>
  <si>
    <t>Riel telescopia cierre lento 35cm  (1 par)</t>
  </si>
  <si>
    <t>Riel Telescopica cierre lento 55cm (1 par)</t>
  </si>
  <si>
    <t>Riel Telescopica cierre lento 50cm (1 par)</t>
  </si>
  <si>
    <t>Cable de parlante para led (m)</t>
  </si>
  <si>
    <t>Otros gastos</t>
  </si>
  <si>
    <t>Transporte</t>
  </si>
  <si>
    <t>Contramaestro</t>
  </si>
  <si>
    <t>Gaseosas</t>
  </si>
  <si>
    <t>Alimentos</t>
  </si>
  <si>
    <t>Herramientas</t>
  </si>
  <si>
    <t>MAD CENTER</t>
  </si>
  <si>
    <t>Servicio Tapacanto</t>
  </si>
  <si>
    <t>Servicio corte 45</t>
  </si>
  <si>
    <t>Servicio perforacion</t>
  </si>
  <si>
    <t>BERNEK
69707359 Ventas
69745353 Tecnico (Luis)</t>
  </si>
  <si>
    <t>Otras considereciones</t>
  </si>
  <si>
    <t>5mm Reborde
5mm Grosor cierra</t>
  </si>
  <si>
    <t>Melamina Tipo Quarzo 18mm</t>
  </si>
  <si>
    <t>Melamina Normal 15mm</t>
  </si>
  <si>
    <t>Melamina Normal 18mm</t>
  </si>
  <si>
    <t>MOYATEC
57053550 Ventas</t>
  </si>
  <si>
    <t>PLACA CENTRO
76538609 Ventas
69713720 Ferreteria</t>
  </si>
  <si>
    <t>720 (275x185)</t>
  </si>
  <si>
    <t>700 (260x183)</t>
  </si>
  <si>
    <t>Tipos de trabajo</t>
  </si>
  <si>
    <t>Realizan cortes rectos y L.</t>
  </si>
  <si>
    <t>Realizan cortes rectos</t>
  </si>
  <si>
    <t>Realizan cortes rectos, cortes 45, perforaciones bisagras, perfilados,
cortes en L, ranurados.</t>
  </si>
  <si>
    <t>Realizan cortes rectos, perfilados</t>
  </si>
  <si>
    <t>Servicio Tapacanto manual</t>
  </si>
  <si>
    <t>Servicio enchapado doble</t>
  </si>
  <si>
    <t>6.50-7</t>
  </si>
  <si>
    <t>2.8 (4mmx22mm)
3 (6mmx22mm)</t>
  </si>
  <si>
    <t>2.8
3.5</t>
  </si>
  <si>
    <t>SCHWARTZ VRENA
62130000 Ventas</t>
  </si>
  <si>
    <t>590 (260x183)
560 (260x183) Blanco Bernek</t>
  </si>
  <si>
    <t>Melamina</t>
  </si>
  <si>
    <t>Nivel láser (muy recomendable para instalaciones)</t>
  </si>
  <si>
    <t>Medición y marcado</t>
  </si>
  <si>
    <t>Guías y plantillas</t>
  </si>
  <si>
    <t>Perforación</t>
  </si>
  <si>
    <t>2 prensas tipo F</t>
  </si>
  <si>
    <t>Ensamblado</t>
  </si>
  <si>
    <t>Prensas</t>
  </si>
  <si>
    <t>Cortes perfectos</t>
  </si>
  <si>
    <t>Sierra circular</t>
  </si>
  <si>
    <t>Disco especial para melamina (60–80 dientes)</t>
  </si>
  <si>
    <t>Riel guía para la sierra</t>
  </si>
  <si>
    <t>Banco de corte</t>
  </si>
  <si>
    <t>Aspiradora para polvo</t>
  </si>
  <si>
    <t>Acabado tapacantos</t>
  </si>
  <si>
    <t>Accesorios alineacion</t>
  </si>
  <si>
    <t>Consumibles</t>
  </si>
  <si>
    <t>4 prensas rápidas de 60 cm</t>
  </si>
  <si>
    <t>2 Prensas tipo C</t>
  </si>
  <si>
    <t xml:space="preserve">2 Prensas de esquina de 90° </t>
  </si>
  <si>
    <t>1 Broca Forstner de 35 mm (para bisagras cazoleta Nro 26/2.6 cm)</t>
  </si>
  <si>
    <t>1 Cinta métrica de buena calidad (5 m o 8 m)</t>
  </si>
  <si>
    <t>1 Regla metálica de 60 cm o 1 m</t>
  </si>
  <si>
    <t>1 Nivel de burbuja (60 cm)</t>
  </si>
  <si>
    <t>1 Lápiz de carpintero o portaminas de punta fina</t>
  </si>
  <si>
    <t>1 Gramil carpintero</t>
  </si>
  <si>
    <t>1 Tijera</t>
  </si>
  <si>
    <t>1 Estilete</t>
  </si>
  <si>
    <t>1 Formon</t>
  </si>
  <si>
    <t>1 Taladro + Atornillador inalámbrico</t>
  </si>
  <si>
    <t>1 kit atornillador con accesorios</t>
  </si>
  <si>
    <t>1 Juego de brocas para madera (3mm requerido)</t>
  </si>
  <si>
    <t>1 Brocas Brad Point (de punta centradora)</t>
  </si>
  <si>
    <t>1 Plantilla para bisagras de 35 mm</t>
  </si>
  <si>
    <t>1 Plantilla para perforaciones tipo Confirmat</t>
  </si>
  <si>
    <t>1 Plantilla para minifix</t>
  </si>
  <si>
    <t>1 Plantilla para tarugos</t>
  </si>
  <si>
    <t>1 Guía para instalar correderas</t>
  </si>
  <si>
    <t>1 Plantilla para tiradores</t>
  </si>
  <si>
    <t>1 Correas de apriete para muebles grandes</t>
  </si>
  <si>
    <t>1 Martillo de goma blanca</t>
  </si>
  <si>
    <t>1 Destornillador Manual + accesorios</t>
  </si>
  <si>
    <t>1 Juego de puntas PH, PZ y Torx (Punta estrella, punta cruz, 6 puntas)</t>
  </si>
  <si>
    <t>1 Kit llaves Allen</t>
  </si>
  <si>
    <t>1 Llave de matraca pequeña (para espacios espacios pequeños)</t>
  </si>
  <si>
    <t>1 Plancha para canto (si usas canto termofusible)</t>
  </si>
  <si>
    <t>1 Cortador de canto</t>
  </si>
  <si>
    <t>1 Lima fina</t>
  </si>
  <si>
    <t>1 Taco de canto</t>
  </si>
  <si>
    <t>1 Rodillo para presionar el canto</t>
  </si>
  <si>
    <t>1 Kit cuñas plásticas</t>
  </si>
  <si>
    <t>1 Kit separadores de 2 /3/4 mm</t>
  </si>
  <si>
    <t>1 Bloques de referencia</t>
  </si>
  <si>
    <t>1 Kit Calzas niveladoras</t>
  </si>
  <si>
    <t>1 Kit topes de montaje</t>
  </si>
  <si>
    <t>1 Cola PVA para madera 600ml (clefa)</t>
  </si>
  <si>
    <t>1 Cinta de enmascarar (cinta masquin)</t>
  </si>
  <si>
    <t xml:space="preserve">1 Alcohol isopropílico 1lt </t>
  </si>
  <si>
    <t>1 Paño de microfibra</t>
  </si>
  <si>
    <t>1 Lubricante seco de silicona (auto)</t>
  </si>
  <si>
    <t>1 Kit marcadores reparadores de melamina</t>
  </si>
  <si>
    <t>1 Lija de agua nro 150</t>
  </si>
  <si>
    <t>1 bolsa de Palitos de helado</t>
  </si>
  <si>
    <t>100 Tornillos 3.5x50mm (melamina 15mm, union por lados )</t>
  </si>
  <si>
    <t>100 Tornillos 3.5x25mm (melamina 15mm, union por cara)</t>
  </si>
  <si>
    <t>100 Tornillos 3.5x15mm (melamina 15mm, bisagras y correderas)</t>
  </si>
  <si>
    <t>810(275x185)</t>
  </si>
  <si>
    <t>365 (marca Total 8v)</t>
  </si>
  <si>
    <t>GAMELI (Internet)
69705967 Ventas</t>
  </si>
  <si>
    <t>1 Alicate tapa tornillo 8mm (compatible para 3.5 y 4 mm)</t>
  </si>
  <si>
    <t>30 (10 brocas)</t>
  </si>
  <si>
    <t>115 (un par)</t>
  </si>
  <si>
    <t>1 par de abrazaderas de fijacion de cajon</t>
  </si>
  <si>
    <t>295 (un par)</t>
  </si>
  <si>
    <t>1 par de sujetador para frente de cajon</t>
  </si>
  <si>
    <t>235 (un par)</t>
  </si>
  <si>
    <t>Preguntar cual me sirve</t>
  </si>
  <si>
    <t>75 y 80 (modelo abierto y cerrado)</t>
  </si>
  <si>
    <t>Preguntar si el lo mismo que presen esquina</t>
  </si>
  <si>
    <t>1 Kit de Plantilla para rieles de cajon</t>
  </si>
  <si>
    <t xml:space="preserve">Perguntar hay dos precios 115 y 130 </t>
  </si>
  <si>
    <t>1 Kit de plantilla para montaje de puertas de armario</t>
  </si>
  <si>
    <t>135, 160 Opcional, cual es mejor.
El de 490 ya contiene todo lo anterior</t>
  </si>
  <si>
    <t>1 Guía para perforar a 30/45/90° (tipo kreg)</t>
  </si>
  <si>
    <t>Perfora a 15grados. 
Se usan tornillos comunes?
Cuales es mejor el de 390 o 120</t>
  </si>
  <si>
    <t>1 Broca escalonada de 95mm (para agujeros ocultos)</t>
  </si>
  <si>
    <t>100 Tornillos 8.0x3.0x25 para agujeros ocultos (sistema kreg)</t>
  </si>
  <si>
    <t>1 Guia de bisagra congrejo, cazoleta</t>
  </si>
  <si>
    <t>1  Regla escuadra en T de angulo ajustable (recomendado)</t>
  </si>
  <si>
    <t>Recomendado</t>
  </si>
  <si>
    <t>1 Escuadra de carpintero con nivel de burbuja de 7 pulgadas</t>
  </si>
  <si>
    <t>1 tope de profundidad para broca</t>
  </si>
  <si>
    <t>1 Extension felxible de 30 cm (chicotillo curvo)</t>
  </si>
  <si>
    <t>5 Marcador carpintero (negro, rojo, azul, verde, blanco)</t>
  </si>
  <si>
    <t>Fluroecente y doble cara</t>
  </si>
  <si>
    <t>1 Punzon automatico (Marcador de agujeros)</t>
  </si>
  <si>
    <t>1 Pulsera magnetica de tornillos (recomendado)</t>
  </si>
  <si>
    <t>-</t>
  </si>
  <si>
    <t>Tapa fondo</t>
  </si>
  <si>
    <t>240 (275x185x3)</t>
  </si>
  <si>
    <t>80 (244x122x2.5)</t>
  </si>
  <si>
    <t>Synergy
69252501 Ventas (Hugo Maydana)</t>
  </si>
  <si>
    <t>793 (275x185x18)</t>
  </si>
  <si>
    <t>721 (244x215) (Texturizado)
793 (Synchro)</t>
  </si>
  <si>
    <t>1 Nivel de burbuja (30 cm)</t>
  </si>
  <si>
    <t>1 broca para madera o metal de 3mm</t>
  </si>
  <si>
    <t>1 bernier o calibrador</t>
  </si>
  <si>
    <t>1 Avellanador con tope de 8mm</t>
  </si>
  <si>
    <t>Preguntar precio</t>
  </si>
  <si>
    <t xml:space="preserve">1 caution </t>
  </si>
  <si>
    <t>1 pomada + estaño</t>
  </si>
  <si>
    <t>100 Tornillos 4.0x50mm (melamina 18mm)</t>
  </si>
  <si>
    <t>100 Tornillos 4.0x25mm (melamina 18mm)</t>
  </si>
  <si>
    <t>50 Soportes de repisa (ver broca de 4mm)</t>
  </si>
  <si>
    <t>Zapateros</t>
  </si>
  <si>
    <t>Bisagra zapatero metal</t>
  </si>
  <si>
    <t>Bisagra zapatero plastico</t>
  </si>
  <si>
    <t>Broca de 18 mm</t>
  </si>
  <si>
    <t>5mm Reborde
5mm Grosor sierra</t>
  </si>
  <si>
    <t>719(275x186) /Subio a 777</t>
  </si>
  <si>
    <t>609(275x185) /Subio a 660</t>
  </si>
  <si>
    <t>3 (0.6mm)</t>
  </si>
  <si>
    <t>2.5 (0.5mm)</t>
  </si>
  <si>
    <t>667 (275x184x15) / 688</t>
  </si>
  <si>
    <t>138 (244x185x2.8mm)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</si>
</sst>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3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0" fontId="1" fillId="4" borderId="0" xfId="0" applyFont="1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82BE-F725-4551-9EC6-2E904ADD1495}">
  <dimension ref="A1:D41"/>
  <sheetViews>
    <sheetView zoomScale="145" zoomScaleNormal="145" workbookViewId="0">
      <selection activeCell="C43" sqref="C43"/>
    </sheetView>
  </sheetViews>
  <sheetFormatPr defaultRowHeight="15" x14ac:dyDescent="0.25"/>
  <cols>
    <col min="1" max="1" width="52.42578125" bestFit="1" customWidth="1"/>
    <col min="2" max="2" width="11.5703125" customWidth="1"/>
    <col min="3" max="3" width="8.85546875" customWidth="1"/>
    <col min="4" max="4" width="14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14</v>
      </c>
    </row>
    <row r="3" spans="1:4" x14ac:dyDescent="0.25">
      <c r="A3" s="3" t="s">
        <v>20</v>
      </c>
      <c r="B3">
        <v>4</v>
      </c>
      <c r="C3">
        <v>600</v>
      </c>
      <c r="D3">
        <f>B3*C3</f>
        <v>2400</v>
      </c>
    </row>
    <row r="4" spans="1:4" x14ac:dyDescent="0.25">
      <c r="A4" s="3" t="s">
        <v>21</v>
      </c>
      <c r="B4">
        <v>2</v>
      </c>
      <c r="C4">
        <v>700</v>
      </c>
      <c r="D4">
        <f t="shared" ref="D4:D40" si="0">B4*C4</f>
        <v>1400</v>
      </c>
    </row>
    <row r="5" spans="1:4" x14ac:dyDescent="0.25">
      <c r="A5" s="3" t="s">
        <v>19</v>
      </c>
      <c r="B5">
        <v>2</v>
      </c>
      <c r="C5">
        <v>300</v>
      </c>
      <c r="D5">
        <f t="shared" si="0"/>
        <v>600</v>
      </c>
    </row>
    <row r="6" spans="1:4" x14ac:dyDescent="0.25">
      <c r="A6" s="1" t="s">
        <v>15</v>
      </c>
    </row>
    <row r="7" spans="1:4" x14ac:dyDescent="0.25">
      <c r="A7" s="3" t="s">
        <v>22</v>
      </c>
      <c r="B7">
        <v>30</v>
      </c>
      <c r="C7">
        <v>0.5</v>
      </c>
      <c r="D7">
        <f t="shared" si="0"/>
        <v>15</v>
      </c>
    </row>
    <row r="8" spans="1:4" x14ac:dyDescent="0.25">
      <c r="A8" s="1" t="s">
        <v>24</v>
      </c>
    </row>
    <row r="9" spans="1:4" x14ac:dyDescent="0.25">
      <c r="A9" s="3" t="s">
        <v>7</v>
      </c>
      <c r="B9">
        <v>1</v>
      </c>
      <c r="C9">
        <v>90</v>
      </c>
      <c r="D9">
        <f t="shared" si="0"/>
        <v>90</v>
      </c>
    </row>
    <row r="10" spans="1:4" x14ac:dyDescent="0.25">
      <c r="A10" s="3" t="s">
        <v>8</v>
      </c>
      <c r="B10">
        <v>1</v>
      </c>
      <c r="C10">
        <v>90</v>
      </c>
      <c r="D10">
        <f t="shared" si="0"/>
        <v>90</v>
      </c>
    </row>
    <row r="11" spans="1:4" x14ac:dyDescent="0.25">
      <c r="A11" s="3" t="s">
        <v>6</v>
      </c>
      <c r="B11">
        <v>1</v>
      </c>
      <c r="C11">
        <v>300</v>
      </c>
      <c r="D11">
        <f t="shared" si="0"/>
        <v>300</v>
      </c>
    </row>
    <row r="12" spans="1:4" x14ac:dyDescent="0.25">
      <c r="A12" s="3" t="s">
        <v>5</v>
      </c>
      <c r="B12">
        <v>1</v>
      </c>
      <c r="C12">
        <v>120</v>
      </c>
      <c r="D12">
        <f t="shared" si="0"/>
        <v>120</v>
      </c>
    </row>
    <row r="13" spans="1:4" x14ac:dyDescent="0.25">
      <c r="A13" s="1" t="s">
        <v>16</v>
      </c>
    </row>
    <row r="14" spans="1:4" x14ac:dyDescent="0.25">
      <c r="A14" s="3" t="s">
        <v>29</v>
      </c>
      <c r="B14">
        <v>1</v>
      </c>
      <c r="C14">
        <v>40</v>
      </c>
      <c r="D14">
        <f t="shared" si="0"/>
        <v>40</v>
      </c>
    </row>
    <row r="15" spans="1:4" x14ac:dyDescent="0.25">
      <c r="A15" s="3" t="s">
        <v>30</v>
      </c>
      <c r="B15">
        <v>1</v>
      </c>
      <c r="C15">
        <v>40</v>
      </c>
      <c r="D15">
        <f t="shared" si="0"/>
        <v>40</v>
      </c>
    </row>
    <row r="16" spans="1:4" x14ac:dyDescent="0.25">
      <c r="A16" s="3" t="s">
        <v>31</v>
      </c>
      <c r="B16">
        <v>2</v>
      </c>
      <c r="C16">
        <v>40</v>
      </c>
      <c r="D16">
        <f t="shared" si="0"/>
        <v>80</v>
      </c>
    </row>
    <row r="17" spans="1:4" x14ac:dyDescent="0.25">
      <c r="A17" s="1" t="s">
        <v>17</v>
      </c>
    </row>
    <row r="18" spans="1:4" x14ac:dyDescent="0.25">
      <c r="A18" s="3" t="s">
        <v>23</v>
      </c>
      <c r="B18">
        <v>22</v>
      </c>
      <c r="C18">
        <v>15</v>
      </c>
      <c r="D18">
        <f t="shared" si="0"/>
        <v>330</v>
      </c>
    </row>
    <row r="19" spans="1:4" x14ac:dyDescent="0.25">
      <c r="A19" s="3" t="s">
        <v>26</v>
      </c>
      <c r="B19">
        <v>4</v>
      </c>
      <c r="C19">
        <v>35</v>
      </c>
      <c r="D19">
        <f t="shared" si="0"/>
        <v>140</v>
      </c>
    </row>
    <row r="20" spans="1:4" x14ac:dyDescent="0.25">
      <c r="A20" s="3" t="s">
        <v>4</v>
      </c>
      <c r="B20">
        <v>7</v>
      </c>
      <c r="C20">
        <v>10</v>
      </c>
      <c r="D20">
        <f t="shared" si="0"/>
        <v>70</v>
      </c>
    </row>
    <row r="21" spans="1:4" x14ac:dyDescent="0.25">
      <c r="A21" s="3" t="s">
        <v>33</v>
      </c>
      <c r="B21">
        <v>2</v>
      </c>
      <c r="C21">
        <v>40</v>
      </c>
      <c r="D21">
        <f t="shared" si="0"/>
        <v>80</v>
      </c>
    </row>
    <row r="22" spans="1:4" x14ac:dyDescent="0.25">
      <c r="A22" s="3" t="s">
        <v>34</v>
      </c>
      <c r="B22">
        <v>2</v>
      </c>
      <c r="C22">
        <v>50</v>
      </c>
      <c r="D22">
        <f t="shared" si="0"/>
        <v>100</v>
      </c>
    </row>
    <row r="23" spans="1:4" x14ac:dyDescent="0.25">
      <c r="A23" s="3" t="s">
        <v>35</v>
      </c>
      <c r="B23">
        <v>1</v>
      </c>
      <c r="C23">
        <v>60</v>
      </c>
      <c r="D23">
        <f t="shared" si="0"/>
        <v>60</v>
      </c>
    </row>
    <row r="24" spans="1:4" x14ac:dyDescent="0.25">
      <c r="A24" s="3" t="s">
        <v>27</v>
      </c>
      <c r="B24">
        <v>1</v>
      </c>
      <c r="C24">
        <v>50</v>
      </c>
      <c r="D24">
        <f t="shared" si="0"/>
        <v>50</v>
      </c>
    </row>
    <row r="25" spans="1:4" x14ac:dyDescent="0.25">
      <c r="A25" s="3" t="s">
        <v>10</v>
      </c>
      <c r="B25">
        <v>1</v>
      </c>
      <c r="C25">
        <v>25</v>
      </c>
      <c r="D25">
        <f t="shared" si="0"/>
        <v>25</v>
      </c>
    </row>
    <row r="26" spans="1:4" x14ac:dyDescent="0.25">
      <c r="A26" s="3" t="s">
        <v>11</v>
      </c>
      <c r="B26">
        <v>1</v>
      </c>
      <c r="C26">
        <v>50</v>
      </c>
      <c r="D26">
        <f t="shared" si="0"/>
        <v>50</v>
      </c>
    </row>
    <row r="27" spans="1:4" x14ac:dyDescent="0.25">
      <c r="A27" s="3" t="s">
        <v>12</v>
      </c>
      <c r="B27">
        <v>1</v>
      </c>
      <c r="C27">
        <v>50</v>
      </c>
      <c r="D27">
        <f t="shared" si="0"/>
        <v>50</v>
      </c>
    </row>
    <row r="28" spans="1:4" x14ac:dyDescent="0.25">
      <c r="A28" s="1" t="s">
        <v>18</v>
      </c>
    </row>
    <row r="29" spans="1:4" x14ac:dyDescent="0.25">
      <c r="A29" s="3" t="s">
        <v>28</v>
      </c>
      <c r="B29">
        <v>5</v>
      </c>
      <c r="C29">
        <v>10</v>
      </c>
      <c r="D29">
        <f t="shared" si="0"/>
        <v>50</v>
      </c>
    </row>
    <row r="30" spans="1:4" x14ac:dyDescent="0.25">
      <c r="A30" s="3" t="s">
        <v>32</v>
      </c>
      <c r="B30">
        <v>1</v>
      </c>
      <c r="C30">
        <v>35</v>
      </c>
      <c r="D30">
        <f t="shared" si="0"/>
        <v>35</v>
      </c>
    </row>
    <row r="31" spans="1:4" x14ac:dyDescent="0.25">
      <c r="A31" s="3" t="s">
        <v>9</v>
      </c>
      <c r="B31">
        <v>6</v>
      </c>
      <c r="C31">
        <v>5</v>
      </c>
      <c r="D31">
        <f t="shared" si="0"/>
        <v>30</v>
      </c>
    </row>
    <row r="32" spans="1:4" x14ac:dyDescent="0.25">
      <c r="A32" s="3" t="s">
        <v>36</v>
      </c>
      <c r="B32">
        <v>12</v>
      </c>
      <c r="C32">
        <v>5</v>
      </c>
      <c r="D32">
        <f t="shared" si="0"/>
        <v>60</v>
      </c>
    </row>
    <row r="33" spans="1:4" s="1" customFormat="1" x14ac:dyDescent="0.25">
      <c r="A33" s="1" t="s">
        <v>25</v>
      </c>
      <c r="D33"/>
    </row>
    <row r="34" spans="1:4" x14ac:dyDescent="0.25">
      <c r="A34" s="3" t="s">
        <v>13</v>
      </c>
      <c r="B34">
        <v>1</v>
      </c>
      <c r="C34">
        <v>300</v>
      </c>
      <c r="D34">
        <f t="shared" si="0"/>
        <v>300</v>
      </c>
    </row>
    <row r="35" spans="1:4" x14ac:dyDescent="0.25">
      <c r="A35" s="1" t="s">
        <v>37</v>
      </c>
    </row>
    <row r="36" spans="1:4" x14ac:dyDescent="0.25">
      <c r="A36" s="3" t="s">
        <v>38</v>
      </c>
      <c r="B36">
        <v>2</v>
      </c>
      <c r="C36">
        <v>50</v>
      </c>
      <c r="D36">
        <f t="shared" si="0"/>
        <v>100</v>
      </c>
    </row>
    <row r="37" spans="1:4" x14ac:dyDescent="0.25">
      <c r="A37" s="3" t="s">
        <v>39</v>
      </c>
      <c r="B37">
        <v>2</v>
      </c>
      <c r="C37">
        <v>150</v>
      </c>
      <c r="D37">
        <f t="shared" si="0"/>
        <v>300</v>
      </c>
    </row>
    <row r="38" spans="1:4" x14ac:dyDescent="0.25">
      <c r="A38" s="3" t="s">
        <v>40</v>
      </c>
      <c r="B38">
        <v>2</v>
      </c>
      <c r="C38">
        <v>20</v>
      </c>
      <c r="D38">
        <f t="shared" si="0"/>
        <v>40</v>
      </c>
    </row>
    <row r="39" spans="1:4" x14ac:dyDescent="0.25">
      <c r="A39" s="3" t="s">
        <v>41</v>
      </c>
      <c r="B39">
        <v>4</v>
      </c>
      <c r="C39">
        <v>20</v>
      </c>
      <c r="D39">
        <f t="shared" si="0"/>
        <v>80</v>
      </c>
    </row>
    <row r="40" spans="1:4" x14ac:dyDescent="0.25">
      <c r="A40" s="3" t="s">
        <v>42</v>
      </c>
      <c r="B40">
        <v>1</v>
      </c>
      <c r="C40">
        <v>500</v>
      </c>
      <c r="D40">
        <f t="shared" si="0"/>
        <v>500</v>
      </c>
    </row>
    <row r="41" spans="1:4" x14ac:dyDescent="0.25">
      <c r="D41">
        <f>SUM(D3:D34)</f>
        <v>6605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AC92-B706-4ADC-AE6C-28D0DABEB4BB}">
  <dimension ref="A1:I117"/>
  <sheetViews>
    <sheetView tabSelected="1" topLeftCell="A16" zoomScale="145" zoomScaleNormal="145" workbookViewId="0">
      <selection activeCell="A39" sqref="A39"/>
    </sheetView>
  </sheetViews>
  <sheetFormatPr defaultRowHeight="15" x14ac:dyDescent="0.25"/>
  <cols>
    <col min="1" max="1" width="38.85546875" customWidth="1"/>
    <col min="2" max="2" width="24.5703125" customWidth="1"/>
    <col min="3" max="3" width="24.140625" customWidth="1"/>
    <col min="4" max="4" width="26.7109375" customWidth="1"/>
    <col min="5" max="5" width="30.85546875" bestFit="1" customWidth="1"/>
    <col min="6" max="7" width="23.42578125" customWidth="1"/>
    <col min="8" max="8" width="30.28515625" customWidth="1"/>
    <col min="9" max="9" width="22.140625" bestFit="1" customWidth="1"/>
  </cols>
  <sheetData>
    <row r="1" spans="1:8" ht="45" x14ac:dyDescent="0.25">
      <c r="B1" s="4" t="s">
        <v>47</v>
      </c>
      <c r="C1" s="4" t="s">
        <v>54</v>
      </c>
      <c r="D1" s="4" t="s">
        <v>67</v>
      </c>
      <c r="E1" t="s">
        <v>43</v>
      </c>
      <c r="F1" s="4" t="s">
        <v>53</v>
      </c>
      <c r="G1" s="4" t="s">
        <v>170</v>
      </c>
      <c r="H1" s="4" t="s">
        <v>137</v>
      </c>
    </row>
    <row r="2" spans="1:8" x14ac:dyDescent="0.25">
      <c r="A2" s="5" t="s">
        <v>69</v>
      </c>
      <c r="B2" s="6"/>
      <c r="C2" s="6"/>
      <c r="D2" s="6"/>
      <c r="E2" s="7"/>
      <c r="F2" s="6"/>
      <c r="G2" s="6"/>
      <c r="H2" s="6"/>
    </row>
    <row r="3" spans="1:8" ht="45" x14ac:dyDescent="0.25">
      <c r="A3" t="s">
        <v>51</v>
      </c>
      <c r="B3" t="s">
        <v>55</v>
      </c>
      <c r="C3" s="4" t="s">
        <v>68</v>
      </c>
      <c r="D3" t="s">
        <v>189</v>
      </c>
      <c r="E3" s="4" t="s">
        <v>172</v>
      </c>
      <c r="F3">
        <v>610</v>
      </c>
      <c r="G3" t="s">
        <v>192</v>
      </c>
    </row>
    <row r="4" spans="1:8" x14ac:dyDescent="0.25">
      <c r="A4" t="s">
        <v>52</v>
      </c>
      <c r="C4" t="s">
        <v>56</v>
      </c>
      <c r="D4" t="s">
        <v>135</v>
      </c>
      <c r="G4" t="s">
        <v>171</v>
      </c>
    </row>
    <row r="5" spans="1:8" x14ac:dyDescent="0.25">
      <c r="A5" t="s">
        <v>50</v>
      </c>
      <c r="D5" t="s">
        <v>188</v>
      </c>
    </row>
    <row r="6" spans="1:8" x14ac:dyDescent="0.25">
      <c r="A6" t="s">
        <v>167</v>
      </c>
      <c r="B6" t="s">
        <v>168</v>
      </c>
      <c r="D6" t="s">
        <v>169</v>
      </c>
      <c r="G6" t="s">
        <v>193</v>
      </c>
    </row>
    <row r="7" spans="1:8" ht="30" x14ac:dyDescent="0.25">
      <c r="A7" t="s">
        <v>44</v>
      </c>
      <c r="B7" t="s">
        <v>190</v>
      </c>
      <c r="C7" s="4" t="s">
        <v>66</v>
      </c>
      <c r="D7">
        <v>2.7</v>
      </c>
      <c r="E7">
        <v>3</v>
      </c>
      <c r="F7" s="4" t="s">
        <v>65</v>
      </c>
      <c r="G7" s="4" t="s">
        <v>191</v>
      </c>
    </row>
    <row r="8" spans="1:8" x14ac:dyDescent="0.25">
      <c r="A8" t="s">
        <v>45</v>
      </c>
      <c r="B8">
        <v>5</v>
      </c>
      <c r="F8">
        <v>2</v>
      </c>
    </row>
    <row r="9" spans="1:8" x14ac:dyDescent="0.25">
      <c r="A9" t="s">
        <v>46</v>
      </c>
      <c r="B9">
        <v>1</v>
      </c>
    </row>
    <row r="10" spans="1:8" x14ac:dyDescent="0.25">
      <c r="A10" t="s">
        <v>62</v>
      </c>
      <c r="F10">
        <v>2</v>
      </c>
    </row>
    <row r="11" spans="1:8" x14ac:dyDescent="0.25">
      <c r="A11" t="s">
        <v>63</v>
      </c>
      <c r="B11" t="s">
        <v>177</v>
      </c>
      <c r="F11" t="s">
        <v>64</v>
      </c>
    </row>
    <row r="12" spans="1:8" ht="30" x14ac:dyDescent="0.25">
      <c r="A12" t="s">
        <v>48</v>
      </c>
      <c r="B12" s="4" t="s">
        <v>49</v>
      </c>
      <c r="C12" s="4" t="s">
        <v>49</v>
      </c>
      <c r="D12" s="4" t="s">
        <v>187</v>
      </c>
      <c r="E12" s="4" t="s">
        <v>49</v>
      </c>
      <c r="F12" s="4" t="s">
        <v>49</v>
      </c>
      <c r="G12" s="4"/>
    </row>
    <row r="13" spans="1:8" ht="60" x14ac:dyDescent="0.25">
      <c r="A13" t="s">
        <v>57</v>
      </c>
      <c r="B13" s="4" t="s">
        <v>60</v>
      </c>
      <c r="C13" t="s">
        <v>58</v>
      </c>
      <c r="D13" t="s">
        <v>59</v>
      </c>
      <c r="E13" t="s">
        <v>61</v>
      </c>
      <c r="F13" s="4" t="s">
        <v>60</v>
      </c>
      <c r="G13" s="4"/>
    </row>
    <row r="16" spans="1:8" x14ac:dyDescent="0.25">
      <c r="A16" s="5" t="s">
        <v>42</v>
      </c>
      <c r="B16" s="6"/>
      <c r="C16" s="6"/>
      <c r="D16" s="6"/>
      <c r="E16" s="7"/>
      <c r="F16" s="6"/>
      <c r="G16" s="6"/>
      <c r="H16" s="6"/>
    </row>
    <row r="17" spans="1:9" x14ac:dyDescent="0.25">
      <c r="A17" s="8" t="s">
        <v>71</v>
      </c>
      <c r="B17" s="9"/>
      <c r="C17" s="9"/>
      <c r="D17" s="9"/>
      <c r="E17" s="10"/>
      <c r="F17" s="9"/>
      <c r="G17" s="9"/>
      <c r="H17" s="9"/>
    </row>
    <row r="18" spans="1:9" x14ac:dyDescent="0.25">
      <c r="A18" s="12" t="s">
        <v>90</v>
      </c>
      <c r="B18" t="s">
        <v>166</v>
      </c>
      <c r="C18" t="s">
        <v>166</v>
      </c>
      <c r="D18" t="s">
        <v>166</v>
      </c>
      <c r="E18" t="s">
        <v>166</v>
      </c>
      <c r="F18" t="s">
        <v>166</v>
      </c>
      <c r="H18">
        <v>80</v>
      </c>
      <c r="I18" t="s">
        <v>163</v>
      </c>
    </row>
    <row r="19" spans="1:9" x14ac:dyDescent="0.25">
      <c r="A19" s="12" t="s">
        <v>159</v>
      </c>
      <c r="H19">
        <v>120</v>
      </c>
    </row>
    <row r="20" spans="1:9" x14ac:dyDescent="0.25">
      <c r="A20" s="12" t="s">
        <v>91</v>
      </c>
      <c r="B20" t="s">
        <v>166</v>
      </c>
      <c r="C20" t="s">
        <v>166</v>
      </c>
      <c r="D20" t="s">
        <v>166</v>
      </c>
      <c r="E20" t="s">
        <v>166</v>
      </c>
      <c r="F20" t="s">
        <v>166</v>
      </c>
      <c r="H20" t="s">
        <v>166</v>
      </c>
    </row>
    <row r="21" spans="1:9" x14ac:dyDescent="0.25">
      <c r="A21" s="12" t="s">
        <v>173</v>
      </c>
    </row>
    <row r="22" spans="1:9" x14ac:dyDescent="0.25">
      <c r="A22" t="s">
        <v>70</v>
      </c>
    </row>
    <row r="23" spans="1:9" x14ac:dyDescent="0.25">
      <c r="A23" s="12" t="s">
        <v>93</v>
      </c>
      <c r="B23" t="s">
        <v>166</v>
      </c>
      <c r="C23" t="s">
        <v>166</v>
      </c>
      <c r="D23" t="s">
        <v>166</v>
      </c>
      <c r="E23" t="s">
        <v>166</v>
      </c>
      <c r="F23" t="s">
        <v>166</v>
      </c>
      <c r="H23">
        <v>60</v>
      </c>
    </row>
    <row r="24" spans="1:9" x14ac:dyDescent="0.25">
      <c r="A24" s="12" t="s">
        <v>162</v>
      </c>
      <c r="H24">
        <v>40</v>
      </c>
    </row>
    <row r="25" spans="1:9" x14ac:dyDescent="0.25">
      <c r="A25" s="12" t="s">
        <v>164</v>
      </c>
      <c r="H25">
        <v>45</v>
      </c>
    </row>
    <row r="26" spans="1:9" x14ac:dyDescent="0.25">
      <c r="A26" s="12" t="s">
        <v>94</v>
      </c>
      <c r="B26" t="s">
        <v>166</v>
      </c>
      <c r="C26" t="s">
        <v>166</v>
      </c>
      <c r="D26" t="s">
        <v>166</v>
      </c>
      <c r="E26" t="s">
        <v>166</v>
      </c>
      <c r="F26" t="s">
        <v>166</v>
      </c>
    </row>
    <row r="27" spans="1:9" x14ac:dyDescent="0.25">
      <c r="A27" s="12" t="s">
        <v>95</v>
      </c>
      <c r="B27" t="s">
        <v>166</v>
      </c>
      <c r="C27" t="s">
        <v>166</v>
      </c>
      <c r="D27" t="s">
        <v>166</v>
      </c>
      <c r="E27" t="s">
        <v>166</v>
      </c>
      <c r="F27" t="s">
        <v>166</v>
      </c>
    </row>
    <row r="28" spans="1:9" x14ac:dyDescent="0.25">
      <c r="A28" s="12" t="s">
        <v>96</v>
      </c>
      <c r="B28" t="s">
        <v>166</v>
      </c>
      <c r="C28" t="s">
        <v>166</v>
      </c>
      <c r="D28" t="s">
        <v>166</v>
      </c>
      <c r="E28" t="s">
        <v>166</v>
      </c>
      <c r="F28" t="s">
        <v>166</v>
      </c>
    </row>
    <row r="29" spans="1:9" x14ac:dyDescent="0.25">
      <c r="A29" s="12" t="s">
        <v>97</v>
      </c>
    </row>
    <row r="30" spans="1:9" x14ac:dyDescent="0.25">
      <c r="A30" t="s">
        <v>165</v>
      </c>
      <c r="H30">
        <v>80</v>
      </c>
    </row>
    <row r="31" spans="1:9" x14ac:dyDescent="0.25">
      <c r="A31" t="s">
        <v>175</v>
      </c>
    </row>
    <row r="32" spans="1:9" x14ac:dyDescent="0.25">
      <c r="A32" s="12" t="s">
        <v>178</v>
      </c>
    </row>
    <row r="33" spans="1:9" x14ac:dyDescent="0.25">
      <c r="A33" s="11" t="s">
        <v>179</v>
      </c>
    </row>
    <row r="35" spans="1:9" x14ac:dyDescent="0.25">
      <c r="A35" s="8" t="s">
        <v>73</v>
      </c>
      <c r="B35" s="9"/>
      <c r="C35" s="9"/>
      <c r="D35" s="9"/>
      <c r="E35" s="10"/>
      <c r="F35" s="9"/>
      <c r="G35" s="9"/>
      <c r="H35" s="9"/>
    </row>
    <row r="36" spans="1:9" x14ac:dyDescent="0.25">
      <c r="A36" s="12" t="s">
        <v>98</v>
      </c>
      <c r="B36" t="s">
        <v>166</v>
      </c>
      <c r="C36" t="s">
        <v>166</v>
      </c>
      <c r="D36" t="s">
        <v>166</v>
      </c>
      <c r="E36" t="s">
        <v>166</v>
      </c>
      <c r="F36" t="s">
        <v>166</v>
      </c>
    </row>
    <row r="37" spans="1:9" x14ac:dyDescent="0.25">
      <c r="A37" s="12" t="s">
        <v>99</v>
      </c>
      <c r="C37" t="s">
        <v>136</v>
      </c>
    </row>
    <row r="38" spans="1:9" x14ac:dyDescent="0.25">
      <c r="A38" s="12" t="s">
        <v>174</v>
      </c>
      <c r="H38" t="s">
        <v>139</v>
      </c>
    </row>
    <row r="39" spans="1:9" x14ac:dyDescent="0.25">
      <c r="A39" s="11" t="s">
        <v>154</v>
      </c>
      <c r="H39">
        <v>50</v>
      </c>
    </row>
    <row r="40" spans="1:9" x14ac:dyDescent="0.25">
      <c r="A40" t="s">
        <v>101</v>
      </c>
    </row>
    <row r="41" spans="1:9" x14ac:dyDescent="0.25">
      <c r="A41" s="11" t="s">
        <v>89</v>
      </c>
      <c r="H41">
        <v>50</v>
      </c>
    </row>
    <row r="42" spans="1:9" x14ac:dyDescent="0.25">
      <c r="A42" s="12" t="s">
        <v>176</v>
      </c>
      <c r="B42" t="s">
        <v>166</v>
      </c>
      <c r="C42" t="s">
        <v>166</v>
      </c>
      <c r="D42" t="s">
        <v>166</v>
      </c>
      <c r="E42" t="s">
        <v>166</v>
      </c>
      <c r="F42" t="s">
        <v>166</v>
      </c>
    </row>
    <row r="43" spans="1:9" x14ac:dyDescent="0.25">
      <c r="A43" t="s">
        <v>160</v>
      </c>
      <c r="H43">
        <v>55</v>
      </c>
    </row>
    <row r="44" spans="1:9" x14ac:dyDescent="0.25">
      <c r="A44" s="12" t="s">
        <v>138</v>
      </c>
      <c r="H44">
        <v>115</v>
      </c>
      <c r="I44" t="s">
        <v>149</v>
      </c>
    </row>
    <row r="45" spans="1:9" x14ac:dyDescent="0.25">
      <c r="A45" s="12" t="s">
        <v>161</v>
      </c>
      <c r="B45" t="s">
        <v>166</v>
      </c>
      <c r="C45" t="s">
        <v>166</v>
      </c>
      <c r="D45" t="s">
        <v>166</v>
      </c>
      <c r="E45" t="s">
        <v>166</v>
      </c>
      <c r="F45" t="s">
        <v>166</v>
      </c>
    </row>
    <row r="47" spans="1:9" x14ac:dyDescent="0.25">
      <c r="A47" s="8" t="s">
        <v>72</v>
      </c>
      <c r="B47" s="9"/>
      <c r="C47" s="9"/>
      <c r="D47" s="9"/>
      <c r="E47" s="10"/>
      <c r="F47" s="9"/>
      <c r="G47" s="9"/>
    </row>
    <row r="48" spans="1:9" x14ac:dyDescent="0.25">
      <c r="A48" t="s">
        <v>103</v>
      </c>
    </row>
    <row r="49" spans="1:9" x14ac:dyDescent="0.25">
      <c r="A49" t="s">
        <v>104</v>
      </c>
    </row>
    <row r="50" spans="1:9" x14ac:dyDescent="0.25">
      <c r="A50" t="s">
        <v>105</v>
      </c>
    </row>
    <row r="51" spans="1:9" x14ac:dyDescent="0.25">
      <c r="A51" s="11" t="s">
        <v>102</v>
      </c>
    </row>
    <row r="52" spans="1:9" ht="75" x14ac:dyDescent="0.25">
      <c r="A52" s="12" t="s">
        <v>152</v>
      </c>
      <c r="H52">
        <v>175</v>
      </c>
      <c r="I52" s="4" t="s">
        <v>153</v>
      </c>
    </row>
    <row r="53" spans="1:9" x14ac:dyDescent="0.25">
      <c r="A53" t="s">
        <v>106</v>
      </c>
    </row>
    <row r="54" spans="1:9" x14ac:dyDescent="0.25">
      <c r="A54" t="s">
        <v>107</v>
      </c>
    </row>
    <row r="55" spans="1:9" x14ac:dyDescent="0.25">
      <c r="A55" t="s">
        <v>148</v>
      </c>
      <c r="H55">
        <v>395</v>
      </c>
    </row>
    <row r="56" spans="1:9" ht="60" x14ac:dyDescent="0.25">
      <c r="A56" t="s">
        <v>150</v>
      </c>
      <c r="H56">
        <v>490</v>
      </c>
      <c r="I56" s="4" t="s">
        <v>151</v>
      </c>
    </row>
    <row r="57" spans="1:9" x14ac:dyDescent="0.25">
      <c r="A57" t="s">
        <v>156</v>
      </c>
      <c r="H57">
        <v>40</v>
      </c>
      <c r="I57" s="4"/>
    </row>
    <row r="58" spans="1:9" x14ac:dyDescent="0.25">
      <c r="A58" s="12" t="s">
        <v>157</v>
      </c>
      <c r="H58">
        <v>270</v>
      </c>
      <c r="I58" s="4" t="s">
        <v>158</v>
      </c>
    </row>
    <row r="60" spans="1:9" x14ac:dyDescent="0.25">
      <c r="A60" s="8" t="s">
        <v>76</v>
      </c>
      <c r="B60" s="9"/>
      <c r="C60" s="9"/>
      <c r="D60" s="9"/>
      <c r="E60" s="10"/>
      <c r="F60" s="9"/>
      <c r="G60" s="9"/>
    </row>
    <row r="61" spans="1:9" x14ac:dyDescent="0.25">
      <c r="A61" s="12" t="s">
        <v>86</v>
      </c>
      <c r="C61">
        <v>50</v>
      </c>
    </row>
    <row r="62" spans="1:9" x14ac:dyDescent="0.25">
      <c r="A62" s="11" t="s">
        <v>74</v>
      </c>
      <c r="C62">
        <v>40</v>
      </c>
    </row>
    <row r="63" spans="1:9" x14ac:dyDescent="0.25">
      <c r="A63" s="12" t="s">
        <v>88</v>
      </c>
      <c r="H63" t="s">
        <v>146</v>
      </c>
      <c r="I63" t="s">
        <v>147</v>
      </c>
    </row>
    <row r="64" spans="1:9" x14ac:dyDescent="0.25">
      <c r="A64" s="12" t="s">
        <v>87</v>
      </c>
      <c r="C64">
        <v>100</v>
      </c>
      <c r="H64" t="s">
        <v>140</v>
      </c>
    </row>
    <row r="65" spans="1:9" x14ac:dyDescent="0.25">
      <c r="A65" t="s">
        <v>108</v>
      </c>
    </row>
    <row r="66" spans="1:9" x14ac:dyDescent="0.25">
      <c r="A66" s="11" t="s">
        <v>141</v>
      </c>
      <c r="H66" t="s">
        <v>142</v>
      </c>
      <c r="I66" s="13" t="s">
        <v>145</v>
      </c>
    </row>
    <row r="67" spans="1:9" x14ac:dyDescent="0.25">
      <c r="A67" s="11" t="s">
        <v>143</v>
      </c>
      <c r="H67" t="s">
        <v>144</v>
      </c>
      <c r="I67" s="13"/>
    </row>
    <row r="69" spans="1:9" x14ac:dyDescent="0.25">
      <c r="A69" s="8" t="s">
        <v>75</v>
      </c>
      <c r="B69" s="9"/>
      <c r="C69" s="9"/>
      <c r="D69" s="9"/>
      <c r="E69" s="10"/>
      <c r="F69" s="9"/>
      <c r="G69" s="9"/>
    </row>
    <row r="70" spans="1:9" x14ac:dyDescent="0.25">
      <c r="A70" s="12" t="s">
        <v>109</v>
      </c>
      <c r="B70" t="s">
        <v>166</v>
      </c>
      <c r="C70" t="s">
        <v>166</v>
      </c>
      <c r="D70" t="s">
        <v>166</v>
      </c>
      <c r="E70" t="s">
        <v>166</v>
      </c>
      <c r="F70" t="s">
        <v>166</v>
      </c>
    </row>
    <row r="71" spans="1:9" x14ac:dyDescent="0.25">
      <c r="A71" s="12" t="s">
        <v>110</v>
      </c>
      <c r="B71" t="s">
        <v>166</v>
      </c>
      <c r="C71" t="s">
        <v>166</v>
      </c>
      <c r="D71" t="s">
        <v>166</v>
      </c>
      <c r="E71" t="s">
        <v>166</v>
      </c>
      <c r="F71" t="s">
        <v>166</v>
      </c>
    </row>
    <row r="72" spans="1:9" x14ac:dyDescent="0.25">
      <c r="A72" t="s">
        <v>111</v>
      </c>
    </row>
    <row r="73" spans="1:9" x14ac:dyDescent="0.25">
      <c r="A73" s="12" t="s">
        <v>112</v>
      </c>
      <c r="B73" t="s">
        <v>166</v>
      </c>
      <c r="C73" t="s">
        <v>166</v>
      </c>
      <c r="D73" t="s">
        <v>166</v>
      </c>
      <c r="E73" t="s">
        <v>166</v>
      </c>
      <c r="F73" t="s">
        <v>166</v>
      </c>
    </row>
    <row r="74" spans="1:9" x14ac:dyDescent="0.25">
      <c r="A74" t="s">
        <v>113</v>
      </c>
    </row>
    <row r="76" spans="1:9" x14ac:dyDescent="0.25">
      <c r="A76" s="8" t="s">
        <v>77</v>
      </c>
      <c r="B76" s="9"/>
      <c r="C76" s="9"/>
      <c r="D76" s="9"/>
      <c r="E76" s="10"/>
      <c r="F76" s="9"/>
      <c r="G76" s="9"/>
    </row>
    <row r="77" spans="1:9" x14ac:dyDescent="0.25">
      <c r="A77" t="s">
        <v>78</v>
      </c>
    </row>
    <row r="78" spans="1:9" x14ac:dyDescent="0.25">
      <c r="A78" t="s">
        <v>79</v>
      </c>
    </row>
    <row r="79" spans="1:9" x14ac:dyDescent="0.25">
      <c r="A79" t="s">
        <v>80</v>
      </c>
    </row>
    <row r="80" spans="1:9" x14ac:dyDescent="0.25">
      <c r="A80" t="s">
        <v>81</v>
      </c>
    </row>
    <row r="81" spans="1:7" x14ac:dyDescent="0.25">
      <c r="A81" t="s">
        <v>82</v>
      </c>
    </row>
    <row r="83" spans="1:7" x14ac:dyDescent="0.25">
      <c r="A83" s="8" t="s">
        <v>83</v>
      </c>
      <c r="B83" s="9"/>
      <c r="C83" s="9"/>
      <c r="D83" s="9"/>
      <c r="E83" s="10"/>
      <c r="F83" s="9"/>
      <c r="G83" s="9"/>
    </row>
    <row r="84" spans="1:7" x14ac:dyDescent="0.25">
      <c r="A84" t="s">
        <v>114</v>
      </c>
    </row>
    <row r="85" spans="1:7" x14ac:dyDescent="0.25">
      <c r="A85" s="11" t="s">
        <v>115</v>
      </c>
    </row>
    <row r="86" spans="1:7" x14ac:dyDescent="0.25">
      <c r="A86" s="11" t="s">
        <v>116</v>
      </c>
    </row>
    <row r="87" spans="1:7" x14ac:dyDescent="0.25">
      <c r="A87" s="11" t="s">
        <v>117</v>
      </c>
    </row>
    <row r="88" spans="1:7" x14ac:dyDescent="0.25">
      <c r="A88" s="11" t="s">
        <v>118</v>
      </c>
    </row>
    <row r="90" spans="1:7" x14ac:dyDescent="0.25">
      <c r="A90" s="8" t="s">
        <v>84</v>
      </c>
      <c r="B90" s="9"/>
      <c r="C90" s="9"/>
      <c r="D90" s="9"/>
      <c r="E90" s="10"/>
      <c r="F90" s="9"/>
      <c r="G90" s="9"/>
    </row>
    <row r="91" spans="1:7" x14ac:dyDescent="0.25">
      <c r="A91" s="12" t="s">
        <v>119</v>
      </c>
    </row>
    <row r="92" spans="1:7" x14ac:dyDescent="0.25">
      <c r="A92" s="12" t="s">
        <v>120</v>
      </c>
    </row>
    <row r="93" spans="1:7" x14ac:dyDescent="0.25">
      <c r="A93" t="s">
        <v>121</v>
      </c>
    </row>
    <row r="94" spans="1:7" x14ac:dyDescent="0.25">
      <c r="A94" s="12" t="s">
        <v>122</v>
      </c>
    </row>
    <row r="95" spans="1:7" x14ac:dyDescent="0.25">
      <c r="A95" s="12" t="s">
        <v>123</v>
      </c>
    </row>
    <row r="97" spans="1:8" x14ac:dyDescent="0.25">
      <c r="A97" s="8" t="s">
        <v>85</v>
      </c>
      <c r="B97" s="9"/>
      <c r="C97" s="9"/>
      <c r="D97" s="9"/>
      <c r="E97" s="10"/>
      <c r="F97" s="9"/>
      <c r="G97" s="9"/>
    </row>
    <row r="98" spans="1:8" x14ac:dyDescent="0.25">
      <c r="A98" s="12" t="s">
        <v>124</v>
      </c>
      <c r="B98" t="s">
        <v>166</v>
      </c>
      <c r="C98" t="s">
        <v>166</v>
      </c>
      <c r="D98" t="s">
        <v>166</v>
      </c>
      <c r="E98" t="s">
        <v>166</v>
      </c>
      <c r="F98" t="s">
        <v>166</v>
      </c>
    </row>
    <row r="99" spans="1:8" x14ac:dyDescent="0.25">
      <c r="A99" s="12" t="s">
        <v>125</v>
      </c>
    </row>
    <row r="100" spans="1:8" x14ac:dyDescent="0.25">
      <c r="A100" s="11" t="s">
        <v>126</v>
      </c>
    </row>
    <row r="101" spans="1:8" x14ac:dyDescent="0.25">
      <c r="A101" s="11" t="s">
        <v>127</v>
      </c>
    </row>
    <row r="102" spans="1:8" x14ac:dyDescent="0.25">
      <c r="A102" s="12" t="s">
        <v>128</v>
      </c>
      <c r="B102" t="s">
        <v>166</v>
      </c>
      <c r="C102" t="s">
        <v>166</v>
      </c>
      <c r="D102" t="s">
        <v>166</v>
      </c>
      <c r="E102" t="s">
        <v>166</v>
      </c>
      <c r="F102" t="s">
        <v>166</v>
      </c>
    </row>
    <row r="103" spans="1:8" x14ac:dyDescent="0.25">
      <c r="A103" s="11" t="s">
        <v>129</v>
      </c>
      <c r="H103">
        <v>85</v>
      </c>
    </row>
    <row r="104" spans="1:8" x14ac:dyDescent="0.25">
      <c r="A104" s="11" t="s">
        <v>130</v>
      </c>
    </row>
    <row r="105" spans="1:8" x14ac:dyDescent="0.25">
      <c r="A105" s="11" t="s">
        <v>131</v>
      </c>
    </row>
    <row r="106" spans="1:8" x14ac:dyDescent="0.25">
      <c r="A106" s="12" t="s">
        <v>132</v>
      </c>
    </row>
    <row r="107" spans="1:8" x14ac:dyDescent="0.25">
      <c r="A107" s="12" t="s">
        <v>133</v>
      </c>
    </row>
    <row r="108" spans="1:8" x14ac:dyDescent="0.25">
      <c r="A108" s="12" t="s">
        <v>134</v>
      </c>
    </row>
    <row r="109" spans="1:8" x14ac:dyDescent="0.25">
      <c r="A109" t="s">
        <v>180</v>
      </c>
    </row>
    <row r="110" spans="1:8" x14ac:dyDescent="0.25">
      <c r="A110" t="s">
        <v>181</v>
      </c>
    </row>
    <row r="111" spans="1:8" x14ac:dyDescent="0.25">
      <c r="A111" s="12" t="s">
        <v>155</v>
      </c>
      <c r="H111">
        <v>30</v>
      </c>
    </row>
    <row r="112" spans="1:8" x14ac:dyDescent="0.25">
      <c r="A112" s="12" t="s">
        <v>182</v>
      </c>
    </row>
    <row r="114" spans="1:7" x14ac:dyDescent="0.25">
      <c r="A114" s="8" t="s">
        <v>183</v>
      </c>
      <c r="B114" s="9"/>
      <c r="C114" s="9"/>
      <c r="D114" s="9"/>
      <c r="E114" s="10"/>
      <c r="F114" s="9"/>
      <c r="G114" s="9"/>
    </row>
    <row r="115" spans="1:7" x14ac:dyDescent="0.25">
      <c r="A115" t="s">
        <v>184</v>
      </c>
    </row>
    <row r="116" spans="1:7" x14ac:dyDescent="0.25">
      <c r="A116" t="s">
        <v>185</v>
      </c>
    </row>
    <row r="117" spans="1:7" x14ac:dyDescent="0.25">
      <c r="A117" t="s">
        <v>186</v>
      </c>
    </row>
  </sheetData>
  <mergeCells count="1">
    <mergeCell ref="I66:I67"/>
  </mergeCell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06A2-D9F8-4EAB-B92F-23812B535E1F}">
  <dimension ref="G43:G95"/>
  <sheetViews>
    <sheetView topLeftCell="A46" workbookViewId="0">
      <selection activeCell="E101" sqref="E101"/>
    </sheetView>
  </sheetViews>
  <sheetFormatPr defaultRowHeight="15" x14ac:dyDescent="0.25"/>
  <cols>
    <col min="7" max="7" width="63" bestFit="1" customWidth="1"/>
  </cols>
  <sheetData>
    <row r="43" spans="7:7" x14ac:dyDescent="0.25">
      <c r="G43" s="8" t="s">
        <v>71</v>
      </c>
    </row>
    <row r="44" spans="7:7" x14ac:dyDescent="0.25">
      <c r="G44" s="11" t="s">
        <v>159</v>
      </c>
    </row>
    <row r="45" spans="7:7" x14ac:dyDescent="0.25">
      <c r="G45" s="11" t="s">
        <v>92</v>
      </c>
    </row>
    <row r="46" spans="7:7" x14ac:dyDescent="0.25">
      <c r="G46" s="11" t="s">
        <v>162</v>
      </c>
    </row>
    <row r="47" spans="7:7" x14ac:dyDescent="0.25">
      <c r="G47" s="11" t="s">
        <v>164</v>
      </c>
    </row>
    <row r="48" spans="7:7" x14ac:dyDescent="0.25">
      <c r="G48" s="11" t="s">
        <v>97</v>
      </c>
    </row>
    <row r="49" spans="7:7" x14ac:dyDescent="0.25">
      <c r="G49" s="11" t="s">
        <v>165</v>
      </c>
    </row>
    <row r="51" spans="7:7" x14ac:dyDescent="0.25">
      <c r="G51" s="8" t="s">
        <v>73</v>
      </c>
    </row>
    <row r="52" spans="7:7" x14ac:dyDescent="0.25">
      <c r="G52" s="11" t="s">
        <v>99</v>
      </c>
    </row>
    <row r="53" spans="7:7" x14ac:dyDescent="0.25">
      <c r="G53" s="11" t="s">
        <v>100</v>
      </c>
    </row>
    <row r="54" spans="7:7" x14ac:dyDescent="0.25">
      <c r="G54" s="11" t="s">
        <v>154</v>
      </c>
    </row>
    <row r="55" spans="7:7" x14ac:dyDescent="0.25">
      <c r="G55" s="11" t="s">
        <v>89</v>
      </c>
    </row>
    <row r="56" spans="7:7" x14ac:dyDescent="0.25">
      <c r="G56" s="11" t="s">
        <v>160</v>
      </c>
    </row>
    <row r="57" spans="7:7" x14ac:dyDescent="0.25">
      <c r="G57" s="11" t="s">
        <v>138</v>
      </c>
    </row>
    <row r="59" spans="7:7" x14ac:dyDescent="0.25">
      <c r="G59" s="8" t="s">
        <v>72</v>
      </c>
    </row>
    <row r="60" spans="7:7" x14ac:dyDescent="0.25">
      <c r="G60" s="11" t="s">
        <v>102</v>
      </c>
    </row>
    <row r="61" spans="7:7" x14ac:dyDescent="0.25">
      <c r="G61" s="11" t="s">
        <v>152</v>
      </c>
    </row>
    <row r="62" spans="7:7" x14ac:dyDescent="0.25">
      <c r="G62" s="11" t="s">
        <v>106</v>
      </c>
    </row>
    <row r="63" spans="7:7" x14ac:dyDescent="0.25">
      <c r="G63" s="11" t="s">
        <v>148</v>
      </c>
    </row>
    <row r="64" spans="7:7" x14ac:dyDescent="0.25">
      <c r="G64" s="11" t="s">
        <v>150</v>
      </c>
    </row>
    <row r="65" spans="7:7" x14ac:dyDescent="0.25">
      <c r="G65" s="11" t="s">
        <v>157</v>
      </c>
    </row>
    <row r="67" spans="7:7" x14ac:dyDescent="0.25">
      <c r="G67" s="8" t="s">
        <v>76</v>
      </c>
    </row>
    <row r="68" spans="7:7" x14ac:dyDescent="0.25">
      <c r="G68" s="11" t="s">
        <v>86</v>
      </c>
    </row>
    <row r="69" spans="7:7" x14ac:dyDescent="0.25">
      <c r="G69" s="11" t="s">
        <v>74</v>
      </c>
    </row>
    <row r="70" spans="7:7" x14ac:dyDescent="0.25">
      <c r="G70" s="11" t="s">
        <v>88</v>
      </c>
    </row>
    <row r="71" spans="7:7" x14ac:dyDescent="0.25">
      <c r="G71" s="11" t="s">
        <v>87</v>
      </c>
    </row>
    <row r="72" spans="7:7" x14ac:dyDescent="0.25">
      <c r="G72" s="11" t="s">
        <v>141</v>
      </c>
    </row>
    <row r="73" spans="7:7" x14ac:dyDescent="0.25">
      <c r="G73" s="11" t="s">
        <v>143</v>
      </c>
    </row>
    <row r="75" spans="7:7" x14ac:dyDescent="0.25">
      <c r="G75" s="8" t="s">
        <v>83</v>
      </c>
    </row>
    <row r="76" spans="7:7" x14ac:dyDescent="0.25">
      <c r="G76" s="11" t="s">
        <v>115</v>
      </c>
    </row>
    <row r="77" spans="7:7" x14ac:dyDescent="0.25">
      <c r="G77" s="11" t="s">
        <v>116</v>
      </c>
    </row>
    <row r="78" spans="7:7" x14ac:dyDescent="0.25">
      <c r="G78" s="11" t="s">
        <v>117</v>
      </c>
    </row>
    <row r="79" spans="7:7" x14ac:dyDescent="0.25">
      <c r="G79" s="11" t="s">
        <v>118</v>
      </c>
    </row>
    <row r="81" spans="7:7" x14ac:dyDescent="0.25">
      <c r="G81" s="8" t="s">
        <v>84</v>
      </c>
    </row>
    <row r="82" spans="7:7" x14ac:dyDescent="0.25">
      <c r="G82" s="11" t="s">
        <v>120</v>
      </c>
    </row>
    <row r="83" spans="7:7" x14ac:dyDescent="0.25">
      <c r="G83" s="11" t="s">
        <v>122</v>
      </c>
    </row>
    <row r="85" spans="7:7" x14ac:dyDescent="0.25">
      <c r="G85" s="8" t="s">
        <v>85</v>
      </c>
    </row>
    <row r="86" spans="7:7" x14ac:dyDescent="0.25">
      <c r="G86" s="11" t="s">
        <v>125</v>
      </c>
    </row>
    <row r="87" spans="7:7" x14ac:dyDescent="0.25">
      <c r="G87" s="11" t="s">
        <v>126</v>
      </c>
    </row>
    <row r="88" spans="7:7" x14ac:dyDescent="0.25">
      <c r="G88" s="11" t="s">
        <v>127</v>
      </c>
    </row>
    <row r="89" spans="7:7" x14ac:dyDescent="0.25">
      <c r="G89" s="11" t="s">
        <v>129</v>
      </c>
    </row>
    <row r="90" spans="7:7" x14ac:dyDescent="0.25">
      <c r="G90" s="11" t="s">
        <v>130</v>
      </c>
    </row>
    <row r="91" spans="7:7" x14ac:dyDescent="0.25">
      <c r="G91" s="11" t="s">
        <v>131</v>
      </c>
    </row>
    <row r="92" spans="7:7" x14ac:dyDescent="0.25">
      <c r="G92" s="11" t="s">
        <v>132</v>
      </c>
    </row>
    <row r="93" spans="7:7" x14ac:dyDescent="0.25">
      <c r="G93" s="11" t="s">
        <v>133</v>
      </c>
    </row>
    <row r="94" spans="7:7" x14ac:dyDescent="0.25">
      <c r="G94" s="11" t="s">
        <v>134</v>
      </c>
    </row>
    <row r="95" spans="7:7" x14ac:dyDescent="0.25">
      <c r="G95" s="1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Presupuesto</vt:lpstr>
      <vt:lpstr>Precio Melamina Trupan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2026-06-17T19:29:28Z</dcterms:created>
  <dcterms:modified xsi:type="dcterms:W3CDTF">2026-08-27T18:51:41Z</dcterms:modified>
</cp:coreProperties>
</file>